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dalalsivadas/Desktop/fuel-map-app/public/"/>
    </mc:Choice>
  </mc:AlternateContent>
  <xr:revisionPtr revIDLastSave="0" documentId="13_ncr:1_{E23A1207-CF7A-AD47-B191-DF3FB876127F}" xr6:coauthVersionLast="47" xr6:coauthVersionMax="47" xr10:uidLastSave="{00000000-0000-0000-0000-000000000000}"/>
  <bookViews>
    <workbookView xWindow="0" yWindow="500" windowWidth="38400" windowHeight="19420" xr2:uid="{9246A1C0-564D-1C4F-B187-C01583FC44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2" i="1" l="1"/>
  <c r="AA21" i="1"/>
  <c r="S15" i="1" l="1"/>
  <c r="R15" i="1"/>
  <c r="V13" i="1" s="1"/>
  <c r="T13" i="1"/>
  <c r="U13" i="1" s="1"/>
  <c r="T14" i="1"/>
  <c r="U14" i="1" s="1"/>
  <c r="T12" i="1"/>
  <c r="U12" i="1" s="1"/>
  <c r="T15" i="1" l="1"/>
  <c r="U15" i="1" s="1"/>
  <c r="V12" i="1"/>
  <c r="V14" i="1"/>
  <c r="W14" i="1"/>
  <c r="W12" i="1"/>
  <c r="X12" i="1" s="1"/>
  <c r="Y12" i="1" s="1"/>
  <c r="W13" i="1"/>
  <c r="X13" i="1" s="1"/>
  <c r="Y13" i="1" s="1"/>
  <c r="X14" i="1" l="1"/>
  <c r="Y14" i="1" s="1"/>
</calcChain>
</file>

<file path=xl/sharedStrings.xml><?xml version="1.0" encoding="utf-8"?>
<sst xmlns="http://schemas.openxmlformats.org/spreadsheetml/2006/main" count="19" uniqueCount="17">
  <si>
    <t>No. of ROs</t>
  </si>
  <si>
    <t>OMC</t>
  </si>
  <si>
    <t>TY</t>
  </si>
  <si>
    <t>LY</t>
  </si>
  <si>
    <t>+/-</t>
  </si>
  <si>
    <t>% Gr.</t>
  </si>
  <si>
    <t>Var</t>
  </si>
  <si>
    <t>Notional</t>
  </si>
  <si>
    <t>IOCL</t>
  </si>
  <si>
    <t>BPCL</t>
  </si>
  <si>
    <t>HPCL</t>
  </si>
  <si>
    <t>TOTAL</t>
  </si>
  <si>
    <t>Date</t>
  </si>
  <si>
    <t>MS</t>
  </si>
  <si>
    <t>HSD</t>
  </si>
  <si>
    <t>01 to 12</t>
  </si>
  <si>
    <t>Nov'25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</si>
</sst>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7" fontId="3" fillId="0" borderId="3" xfId="1" applyNumberFormat="1" applyFont="1" applyBorder="1" applyAlignment="1">
      <alignment horizontal="center" vertical="center" wrapText="1"/>
    </xf>
    <xf numFmtId="167" fontId="3" fillId="0" borderId="3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C55D-908E-4A44-9E8C-CBA368DC09C6}">
  <dimension ref="E11:AA22"/>
  <sheetViews>
    <sheetView tabSelected="1" workbookViewId="0">
      <selection activeCell="U20" sqref="U20:Z22"/>
    </sheetView>
  </sheetViews>
  <sheetFormatPr baseColWidth="10" defaultRowHeight="16" x14ac:dyDescent="0.2"/>
  <cols>
    <col min="21" max="23" width="11.6640625" bestFit="1" customWidth="1"/>
    <col min="25" max="25" width="12.33203125" bestFit="1" customWidth="1"/>
  </cols>
  <sheetData>
    <row r="11" spans="6:25" ht="17" thickBot="1" x14ac:dyDescent="0.25">
      <c r="F11" s="1" t="s">
        <v>0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2" t="s">
        <v>1</v>
      </c>
      <c r="R11" s="2" t="s">
        <v>2</v>
      </c>
      <c r="S11" s="2" t="s">
        <v>3</v>
      </c>
      <c r="T11" s="2" t="s">
        <v>4</v>
      </c>
      <c r="U11" s="2" t="s">
        <v>5</v>
      </c>
      <c r="V11" s="3" t="s">
        <v>2</v>
      </c>
      <c r="W11" s="3" t="s">
        <v>3</v>
      </c>
      <c r="X11" s="3" t="s">
        <v>6</v>
      </c>
      <c r="Y11" s="3" t="s">
        <v>7</v>
      </c>
    </row>
    <row r="12" spans="6:25" ht="17" thickBot="1" x14ac:dyDescent="0.25">
      <c r="F12" s="4">
        <v>72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 t="s">
        <v>8</v>
      </c>
      <c r="R12" s="5">
        <v>5725</v>
      </c>
      <c r="S12" s="5">
        <v>5598</v>
      </c>
      <c r="T12" s="5">
        <f>R12-S12</f>
        <v>127</v>
      </c>
      <c r="U12" s="6">
        <f>T12/S12</f>
        <v>2.2686673812075741E-2</v>
      </c>
      <c r="V12" s="6">
        <f>R12/R$15</f>
        <v>0.46907005325686196</v>
      </c>
      <c r="W12" s="6">
        <f>S12/S$15</f>
        <v>0.48371208848181113</v>
      </c>
      <c r="X12" s="7">
        <f>V12-W12</f>
        <v>-1.4642035224949168E-2</v>
      </c>
      <c r="Y12" s="8">
        <f>X12*R$15</f>
        <v>-178.70603992050459</v>
      </c>
    </row>
    <row r="13" spans="6:25" ht="17" thickBot="1" x14ac:dyDescent="0.25">
      <c r="F13" s="4">
        <v>26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 t="s">
        <v>9</v>
      </c>
      <c r="R13" s="5">
        <v>2470</v>
      </c>
      <c r="S13" s="5">
        <v>2460</v>
      </c>
      <c r="T13" s="5">
        <f t="shared" ref="T13:T15" si="0">R13-S13</f>
        <v>10</v>
      </c>
      <c r="U13" s="6">
        <f t="shared" ref="U13:U15" si="1">T13/S13</f>
        <v>4.0650406504065045E-3</v>
      </c>
      <c r="V13" s="6">
        <f t="shared" ref="V13:V14" si="2">R13/R$15</f>
        <v>0.20237607537894306</v>
      </c>
      <c r="W13" s="6">
        <f>S13/S$15</f>
        <v>0.21256372591376479</v>
      </c>
      <c r="X13" s="7">
        <f t="shared" ref="X13:X14" si="3">V13-W13</f>
        <v>-1.0187650534821735E-2</v>
      </c>
      <c r="Y13" s="8">
        <f t="shared" ref="Y13:Y14" si="4">X13*R$15</f>
        <v>-124.34027477749927</v>
      </c>
    </row>
    <row r="14" spans="6:25" ht="17" thickBot="1" x14ac:dyDescent="0.25">
      <c r="F14" s="4">
        <v>57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 t="s">
        <v>10</v>
      </c>
      <c r="R14" s="5">
        <v>4010</v>
      </c>
      <c r="S14" s="5">
        <v>3515</v>
      </c>
      <c r="T14" s="5">
        <f t="shared" si="0"/>
        <v>495</v>
      </c>
      <c r="U14" s="6">
        <f t="shared" si="1"/>
        <v>0.14082503556187767</v>
      </c>
      <c r="V14" s="6">
        <f t="shared" si="2"/>
        <v>0.328553871364195</v>
      </c>
      <c r="W14" s="6">
        <f t="shared" ref="W13:W14" si="5">S14/S$15</f>
        <v>0.3037241856044241</v>
      </c>
      <c r="X14" s="7">
        <f t="shared" si="3"/>
        <v>2.4829685759770903E-2</v>
      </c>
      <c r="Y14" s="8">
        <f t="shared" si="4"/>
        <v>303.04631469800387</v>
      </c>
    </row>
    <row r="15" spans="6:25" ht="17" thickBot="1" x14ac:dyDescent="0.25">
      <c r="F15" s="4">
        <v>155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 t="s">
        <v>11</v>
      </c>
      <c r="R15" s="5">
        <f>SUM(R12:R14)</f>
        <v>12205</v>
      </c>
      <c r="S15" s="5">
        <f>SUM(S12:S14)</f>
        <v>11573</v>
      </c>
      <c r="T15" s="5">
        <f t="shared" si="0"/>
        <v>632</v>
      </c>
      <c r="U15" s="6">
        <f t="shared" si="1"/>
        <v>5.4609867795731445E-2</v>
      </c>
      <c r="V15" s="5"/>
      <c r="W15" s="5"/>
      <c r="X15" s="5"/>
      <c r="Y15" s="5"/>
    </row>
    <row r="19" spans="5:27" ht="17" thickBot="1" x14ac:dyDescent="0.25"/>
    <row r="20" spans="5:27" ht="17" thickBot="1" x14ac:dyDescent="0.25">
      <c r="E20" s="9" t="s">
        <v>12</v>
      </c>
      <c r="F20" s="10" t="s">
        <v>15</v>
      </c>
      <c r="G20" s="10">
        <v>13</v>
      </c>
      <c r="H20" s="10">
        <v>14</v>
      </c>
      <c r="I20" s="10">
        <v>15</v>
      </c>
      <c r="J20" s="10">
        <v>16</v>
      </c>
      <c r="K20" s="10">
        <v>17</v>
      </c>
      <c r="L20" s="10">
        <v>18</v>
      </c>
      <c r="M20" s="10">
        <v>19</v>
      </c>
      <c r="N20" s="10">
        <v>20</v>
      </c>
      <c r="O20" s="10">
        <v>21</v>
      </c>
      <c r="P20" s="10">
        <v>22</v>
      </c>
      <c r="Q20" s="10">
        <v>23</v>
      </c>
      <c r="R20" s="10">
        <v>24</v>
      </c>
      <c r="S20" s="10">
        <v>25</v>
      </c>
      <c r="T20" s="10">
        <v>26</v>
      </c>
      <c r="U20" s="10">
        <v>27</v>
      </c>
      <c r="V20" s="10">
        <v>28</v>
      </c>
      <c r="W20" s="10">
        <v>29</v>
      </c>
      <c r="X20" s="10">
        <v>30</v>
      </c>
      <c r="Y20" s="10">
        <v>31</v>
      </c>
      <c r="Z20" s="10" t="s">
        <v>16</v>
      </c>
    </row>
    <row r="21" spans="5:27" ht="17" thickBot="1" x14ac:dyDescent="0.25">
      <c r="E21" s="11" t="s">
        <v>13</v>
      </c>
      <c r="F21" s="2">
        <v>2131</v>
      </c>
      <c r="G21" s="2">
        <v>120</v>
      </c>
      <c r="H21" s="2">
        <v>130</v>
      </c>
      <c r="I21" s="2">
        <v>180</v>
      </c>
      <c r="J21" s="2">
        <v>0</v>
      </c>
      <c r="K21" s="2">
        <v>160</v>
      </c>
      <c r="L21" s="2">
        <v>130</v>
      </c>
      <c r="M21" s="2">
        <v>125</v>
      </c>
      <c r="N21" s="2">
        <v>130</v>
      </c>
      <c r="O21" s="2">
        <v>120</v>
      </c>
      <c r="P21" s="2">
        <v>144</v>
      </c>
      <c r="Q21" s="2">
        <v>0</v>
      </c>
      <c r="R21" s="2">
        <v>130</v>
      </c>
      <c r="S21" s="2">
        <v>110</v>
      </c>
      <c r="T21" s="2">
        <v>100</v>
      </c>
      <c r="U21" s="2">
        <v>100</v>
      </c>
      <c r="V21" s="2">
        <v>120</v>
      </c>
      <c r="W21" s="2">
        <v>140</v>
      </c>
      <c r="X21" s="2">
        <v>220</v>
      </c>
      <c r="Y21" s="2">
        <v>300</v>
      </c>
      <c r="Z21" s="2">
        <v>4590</v>
      </c>
      <c r="AA21">
        <f>SUM(F21:Y21)</f>
        <v>4590</v>
      </c>
    </row>
    <row r="22" spans="5:27" ht="17" thickBot="1" x14ac:dyDescent="0.25">
      <c r="E22" s="11" t="s">
        <v>14</v>
      </c>
      <c r="F22" s="2">
        <v>2236</v>
      </c>
      <c r="G22" s="2">
        <v>180</v>
      </c>
      <c r="H22" s="2">
        <v>175</v>
      </c>
      <c r="I22" s="2">
        <v>220</v>
      </c>
      <c r="J22" s="2">
        <v>0</v>
      </c>
      <c r="K22" s="2">
        <v>200</v>
      </c>
      <c r="L22" s="2">
        <v>180</v>
      </c>
      <c r="M22" s="2">
        <v>170</v>
      </c>
      <c r="N22" s="2">
        <v>180</v>
      </c>
      <c r="O22" s="2">
        <v>170</v>
      </c>
      <c r="P22" s="2">
        <v>210</v>
      </c>
      <c r="Q22" s="2">
        <v>0</v>
      </c>
      <c r="R22" s="2">
        <v>220</v>
      </c>
      <c r="S22" s="2">
        <v>200</v>
      </c>
      <c r="T22" s="2">
        <v>155</v>
      </c>
      <c r="U22" s="2">
        <v>220</v>
      </c>
      <c r="V22" s="2">
        <v>200</v>
      </c>
      <c r="W22" s="2">
        <v>200</v>
      </c>
      <c r="X22" s="2">
        <v>260</v>
      </c>
      <c r="Y22" s="2">
        <v>350</v>
      </c>
      <c r="Z22" s="2">
        <v>5725</v>
      </c>
      <c r="AA22">
        <f>SUM(F22:Y22)</f>
        <v>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Nandalal, MS</dc:creator>
  <cp:lastModifiedBy>Nandalal, MS</cp:lastModifiedBy>
  <dcterms:created xsi:type="dcterms:W3CDTF">2025-11-12T09:14:18Z</dcterms:created>
  <dcterms:modified xsi:type="dcterms:W3CDTF">2025-11-12T12:24:39Z</dcterms:modified>
</cp:coreProperties>
</file>